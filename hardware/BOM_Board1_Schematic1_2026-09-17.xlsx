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<sst xmlns="http://schemas.openxmlformats.org/spreadsheetml/2006/main" count="225" uniqueCount="129">
  <si>
    <t/>
  </si>
  <si>
    <t xml:space="preserve">Bill of Materials </t>
  </si>
  <si>
    <t>BOM_Board1_Schematic1_2026-09-17</t>
  </si>
  <si>
    <t>Project Title：</t>
  </si>
  <si>
    <t>ELF2_IO_Board</t>
  </si>
  <si>
    <t>Variant:</t>
  </si>
  <si>
    <t xml:space="preserve"> </t>
  </si>
  <si>
    <t>Report Time：</t>
  </si>
  <si>
    <t>2026年9月17日 10:16:20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</si>
  <si>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</si>
  <si>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</si>
  <si>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</si>
  <si>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</si>
  <si>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</si>
  <si>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</si>
  <si>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</si>
  <si>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</si>
  <si>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</si>
  <si>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</si>
  <si>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</si>
  <si>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</si>
  <si>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1uF</t>
  </si>
  <si>
    <t>C1, C2, C3, C4</t>
  </si>
  <si>
    <t>C0805</t>
  </si>
  <si>
    <t>CC0805KKX7R9BB105</t>
  </si>
  <si>
    <t>YAGEO(国巨)</t>
  </si>
  <si>
    <t>C91185</t>
  </si>
  <si>
    <t>LCSC</t>
  </si>
  <si>
    <t>100nF</t>
  </si>
  <si>
    <t>C5</t>
  </si>
  <si>
    <t>C0603</t>
  </si>
  <si>
    <t>0603B104M500NT</t>
  </si>
  <si>
    <t>FH(风华)</t>
  </si>
  <si>
    <t>C286510</t>
  </si>
  <si>
    <t>10nF</t>
  </si>
  <si>
    <t>C8, C9</t>
  </si>
  <si>
    <t>CL21B103KBANNNC</t>
  </si>
  <si>
    <t>SAMSUNG(三星)</t>
  </si>
  <si>
    <t>C1710</t>
  </si>
  <si>
    <t>DB128V-5.08-4P-GN-S</t>
  </si>
  <si>
    <t>CN1, CN3, CN4, CN5</t>
  </si>
  <si>
    <t>CONN-TH_4P-P5.08_DIBO_DB128V-5.08</t>
  </si>
  <si>
    <t>DORABO(地博电气)</t>
  </si>
  <si>
    <t>C2915641</t>
  </si>
  <si>
    <t>XT30UPB-M</t>
  </si>
  <si>
    <t>CN2</t>
  </si>
  <si>
    <t>CONN-TH_XT30UPB-M</t>
  </si>
  <si>
    <t>AMASS(艾迈斯)</t>
  </si>
  <si>
    <t>C428721</t>
  </si>
  <si>
    <t>SMF3.3CA</t>
  </si>
  <si>
    <t>D1, D3, D4</t>
  </si>
  <si>
    <t>SOD-123FL_L2.6-W1.7-LS3.6-BI</t>
  </si>
  <si>
    <t>R+O(宏嘉诚)</t>
  </si>
  <si>
    <t>C19077496</t>
  </si>
  <si>
    <t>NCD0603Y2</t>
  </si>
  <si>
    <t>LED1, LED2</t>
  </si>
  <si>
    <t>LED0603-RD</t>
  </si>
  <si>
    <t>国星光电</t>
  </si>
  <si>
    <t>C89811</t>
  </si>
  <si>
    <t>WJ500V-5.08-2P</t>
  </si>
  <si>
    <t>P1, P2, P3</t>
  </si>
  <si>
    <t>CONN-TH_2P-P5.00_WJ500V-5.08-2P</t>
  </si>
  <si>
    <t>KANGNEX(康奈克斯电气)</t>
  </si>
  <si>
    <t>C8465</t>
  </si>
  <si>
    <t>1kΩ</t>
  </si>
  <si>
    <t>R6, R7</t>
  </si>
  <si>
    <t>R0603</t>
  </si>
  <si>
    <t>FRC0603F1001TS</t>
  </si>
  <si>
    <t>FOJAN(富捷)</t>
  </si>
  <si>
    <t>C2907002</t>
  </si>
  <si>
    <t>820Ω</t>
  </si>
  <si>
    <t>R8, R9</t>
  </si>
  <si>
    <t>R0805</t>
  </si>
  <si>
    <t>0805W8F8200T5E</t>
  </si>
  <si>
    <t>UNI-ROYAL(厚声)</t>
  </si>
  <si>
    <t>C17837</t>
  </si>
  <si>
    <t>120Ω</t>
  </si>
  <si>
    <t>R10</t>
  </si>
  <si>
    <t>RES-TH_BD2.2-L6.5-P10.50-D0.6</t>
  </si>
  <si>
    <t>MFR-25FTE52-120R</t>
  </si>
  <si>
    <t>C172969</t>
  </si>
  <si>
    <t>100Ω</t>
  </si>
  <si>
    <t>R14, R17</t>
  </si>
  <si>
    <t>RES-TH_BD2.4-L6.3-P10.30-D0.6</t>
  </si>
  <si>
    <t>MFR50SFTE52-100R</t>
  </si>
  <si>
    <t>C173138</t>
  </si>
  <si>
    <t>91kΩ</t>
  </si>
  <si>
    <t>R15</t>
  </si>
  <si>
    <t>RES-TH_BD2.3-L6.5-P10.50-D0.5</t>
  </si>
  <si>
    <t>RN1/2WS91KΩFT/BA1</t>
  </si>
  <si>
    <t>Tyohm(幸亚电阻)</t>
  </si>
  <si>
    <t>C385553</t>
  </si>
  <si>
    <t>10kΩ</t>
  </si>
  <si>
    <t>R16, R19</t>
  </si>
  <si>
    <t>MFR-25FTE52-10K</t>
  </si>
  <si>
    <t>C172967</t>
  </si>
  <si>
    <t>160kΩ</t>
  </si>
  <si>
    <t>R18</t>
  </si>
  <si>
    <t>RES-TH_BD2.7-L6.2-P10.20-D0.4</t>
  </si>
  <si>
    <t>MF1/4W-160K±1%-ST52</t>
  </si>
  <si>
    <t>VO(翔胜)</t>
  </si>
  <si>
    <t>C2848593</t>
  </si>
  <si>
    <t>HR228434</t>
  </si>
  <si>
    <t>U1, U2</t>
  </si>
  <si>
    <t>FILTER-SMD_4P-L11.4-W8.1-TR</t>
  </si>
  <si>
    <t>HANRUN(汉仁)</t>
  </si>
  <si>
    <t>C2895407</t>
  </si>
  <si>
    <t>TD321D485H-A</t>
  </si>
  <si>
    <t>U3</t>
  </si>
  <si>
    <t>COMM-TH_TD321D485H-A</t>
  </si>
  <si>
    <t>VISOM</t>
  </si>
  <si>
    <t>C882131</t>
  </si>
  <si>
    <t>Project Title</t>
  </si>
  <si>
    <t>Borard Title</t>
  </si>
  <si>
    <t>Board1</t>
  </si>
  <si>
    <t>Schematic Title</t>
  </si>
  <si>
    <t>Schematic1</t>
  </si>
  <si>
    <t>PCB Title</t>
  </si>
  <si>
    <t>PCB1</t>
  </si>
  <si>
    <t>Variant Name</t>
  </si>
  <si>
    <t>Total Quantity</t>
  </si>
  <si>
    <t>Report Time</t>
  </si>
  <si>
    <t>10:16:20</t>
  </si>
  <si>
    <t>Report Date</t>
  </si>
  <si>
    <t>2026年9月17日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</si>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</sst>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 showGridLines="0" zoomScale="115" zoomScaleNormal="115">
      <selection activeCell="E17" sqref="E17"/>
    </sheetView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1" x14ac:dyDescent="0.25">
      <c r="A7" s="8">
        <f>ROW()-6</f>
      </c>
      <c r="B7" s="9">
        <v>4</v>
      </c>
      <c r="C7" s="9" t="s">
        <v>21</v>
      </c>
      <c r="D7" s="9" t="s">
        <v>22</v>
      </c>
      <c r="E7" s="9" t="s">
        <v>23</v>
      </c>
      <c r="F7" s="9" t="s">
        <v>21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0</v>
      </c>
    </row>
    <row r="8" spans="1:11" x14ac:dyDescent="0.25">
      <c r="A8" s="8">
        <f>ROW()-6</f>
      </c>
      <c r="B8" s="9">
        <v>1</v>
      </c>
      <c r="C8" s="9" t="s">
        <v>28</v>
      </c>
      <c r="D8" s="9" t="s">
        <v>29</v>
      </c>
      <c r="E8" s="9" t="s">
        <v>30</v>
      </c>
      <c r="F8" s="9" t="s">
        <v>28</v>
      </c>
      <c r="G8" s="9" t="s">
        <v>31</v>
      </c>
      <c r="H8" s="9" t="s">
        <v>32</v>
      </c>
      <c r="I8" s="9" t="s">
        <v>33</v>
      </c>
      <c r="J8" s="9" t="s">
        <v>27</v>
      </c>
      <c r="K8" s="9" t="s">
        <v>0</v>
      </c>
    </row>
    <row r="9" spans="1:11" x14ac:dyDescent="0.25">
      <c r="A9" s="8">
        <f>ROW()-6</f>
      </c>
      <c r="B9" s="9">
        <v>2</v>
      </c>
      <c r="C9" s="9" t="s">
        <v>34</v>
      </c>
      <c r="D9" s="9" t="s">
        <v>35</v>
      </c>
      <c r="E9" s="9" t="s">
        <v>23</v>
      </c>
      <c r="F9" s="9" t="s">
        <v>34</v>
      </c>
      <c r="G9" s="9" t="s">
        <v>36</v>
      </c>
      <c r="H9" s="9" t="s">
        <v>37</v>
      </c>
      <c r="I9" s="9" t="s">
        <v>38</v>
      </c>
      <c r="J9" s="9" t="s">
        <v>27</v>
      </c>
      <c r="K9" s="9" t="s">
        <v>0</v>
      </c>
    </row>
    <row r="10" spans="1:11" x14ac:dyDescent="0.25">
      <c r="A10" s="8">
        <f>ROW()-6</f>
      </c>
      <c r="B10" s="9">
        <v>4</v>
      </c>
      <c r="C10" s="9" t="s">
        <v>39</v>
      </c>
      <c r="D10" s="9" t="s">
        <v>40</v>
      </c>
      <c r="E10" s="9" t="s">
        <v>41</v>
      </c>
      <c r="F10" s="9" t="s">
        <v>0</v>
      </c>
      <c r="G10" s="9" t="s">
        <v>39</v>
      </c>
      <c r="H10" s="9" t="s">
        <v>42</v>
      </c>
      <c r="I10" s="9" t="s">
        <v>43</v>
      </c>
      <c r="J10" s="9" t="s">
        <v>27</v>
      </c>
      <c r="K10" s="9" t="s">
        <v>0</v>
      </c>
    </row>
    <row r="11" spans="1:11" x14ac:dyDescent="0.25">
      <c r="A11" s="8">
        <f>ROW()-6</f>
      </c>
      <c r="B11" s="9">
        <v>1</v>
      </c>
      <c r="C11" s="9" t="s">
        <v>44</v>
      </c>
      <c r="D11" s="9" t="s">
        <v>45</v>
      </c>
      <c r="E11" s="9" t="s">
        <v>46</v>
      </c>
      <c r="F11" s="9" t="s">
        <v>0</v>
      </c>
      <c r="G11" s="9" t="s">
        <v>44</v>
      </c>
      <c r="H11" s="9" t="s">
        <v>47</v>
      </c>
      <c r="I11" s="9" t="s">
        <v>48</v>
      </c>
      <c r="J11" s="9" t="s">
        <v>27</v>
      </c>
      <c r="K11" s="9" t="s">
        <v>0</v>
      </c>
    </row>
    <row r="12" spans="1:11" x14ac:dyDescent="0.25">
      <c r="A12" s="8">
        <f>ROW()-6</f>
      </c>
      <c r="B12" s="9">
        <v>3</v>
      </c>
      <c r="C12" s="9" t="s">
        <v>49</v>
      </c>
      <c r="D12" s="9" t="s">
        <v>50</v>
      </c>
      <c r="E12" s="9" t="s">
        <v>51</v>
      </c>
      <c r="F12" s="9" t="s">
        <v>0</v>
      </c>
      <c r="G12" s="9" t="s">
        <v>49</v>
      </c>
      <c r="H12" s="9" t="s">
        <v>52</v>
      </c>
      <c r="I12" s="9" t="s">
        <v>53</v>
      </c>
      <c r="J12" s="9" t="s">
        <v>27</v>
      </c>
      <c r="K12" s="9" t="s">
        <v>0</v>
      </c>
    </row>
    <row r="13" spans="1:11" x14ac:dyDescent="0.25">
      <c r="A13" s="8">
        <f>ROW()-6</f>
      </c>
      <c r="B13" s="9">
        <v>2</v>
      </c>
      <c r="C13" s="9" t="s">
        <v>54</v>
      </c>
      <c r="D13" s="9" t="s">
        <v>55</v>
      </c>
      <c r="E13" s="9" t="s">
        <v>56</v>
      </c>
      <c r="F13" s="9" t="s">
        <v>0</v>
      </c>
      <c r="G13" s="9" t="s">
        <v>54</v>
      </c>
      <c r="H13" s="9" t="s">
        <v>57</v>
      </c>
      <c r="I13" s="9" t="s">
        <v>58</v>
      </c>
      <c r="J13" s="9" t="s">
        <v>27</v>
      </c>
      <c r="K13" s="9" t="s">
        <v>0</v>
      </c>
    </row>
    <row r="14" spans="1:11" x14ac:dyDescent="0.25">
      <c r="A14" s="8">
        <f>ROW()-6</f>
      </c>
      <c r="B14" s="9">
        <v>3</v>
      </c>
      <c r="C14" s="9" t="s">
        <v>59</v>
      </c>
      <c r="D14" s="9" t="s">
        <v>60</v>
      </c>
      <c r="E14" s="9" t="s">
        <v>61</v>
      </c>
      <c r="F14" s="9" t="s">
        <v>0</v>
      </c>
      <c r="G14" s="9" t="s">
        <v>59</v>
      </c>
      <c r="H14" s="9" t="s">
        <v>62</v>
      </c>
      <c r="I14" s="9" t="s">
        <v>63</v>
      </c>
      <c r="J14" s="9" t="s">
        <v>27</v>
      </c>
      <c r="K14" s="9" t="s">
        <v>0</v>
      </c>
    </row>
    <row r="15" spans="1:11" x14ac:dyDescent="0.25">
      <c r="A15" s="8">
        <f>ROW()-6</f>
      </c>
      <c r="B15" s="9">
        <v>2</v>
      </c>
      <c r="C15" s="9" t="s">
        <v>64</v>
      </c>
      <c r="D15" s="9" t="s">
        <v>65</v>
      </c>
      <c r="E15" s="9" t="s">
        <v>66</v>
      </c>
      <c r="F15" s="9" t="s">
        <v>64</v>
      </c>
      <c r="G15" s="9" t="s">
        <v>67</v>
      </c>
      <c r="H15" s="9" t="s">
        <v>68</v>
      </c>
      <c r="I15" s="9" t="s">
        <v>69</v>
      </c>
      <c r="J15" s="9" t="s">
        <v>27</v>
      </c>
      <c r="K15" s="9" t="s">
        <v>0</v>
      </c>
    </row>
    <row r="16" spans="1:11" x14ac:dyDescent="0.25">
      <c r="A16" s="8">
        <f>ROW()-6</f>
      </c>
      <c r="B16" s="9">
        <v>2</v>
      </c>
      <c r="C16" s="9" t="s">
        <v>70</v>
      </c>
      <c r="D16" s="9" t="s">
        <v>71</v>
      </c>
      <c r="E16" s="9" t="s">
        <v>72</v>
      </c>
      <c r="F16" s="9" t="s">
        <v>70</v>
      </c>
      <c r="G16" s="9" t="s">
        <v>73</v>
      </c>
      <c r="H16" s="9" t="s">
        <v>74</v>
      </c>
      <c r="I16" s="9" t="s">
        <v>75</v>
      </c>
      <c r="J16" s="9" t="s">
        <v>27</v>
      </c>
      <c r="K16" s="9" t="s">
        <v>0</v>
      </c>
    </row>
    <row r="17" spans="1:11" x14ac:dyDescent="0.25">
      <c r="A17" s="8">
        <f>ROW()-6</f>
      </c>
      <c r="B17" s="9">
        <v>1</v>
      </c>
      <c r="C17" s="9" t="s">
        <v>76</v>
      </c>
      <c r="D17" s="9" t="s">
        <v>77</v>
      </c>
      <c r="E17" s="9" t="s">
        <v>78</v>
      </c>
      <c r="F17" s="9" t="s">
        <v>76</v>
      </c>
      <c r="G17" s="9" t="s">
        <v>79</v>
      </c>
      <c r="H17" s="9" t="s">
        <v>25</v>
      </c>
      <c r="I17" s="9" t="s">
        <v>80</v>
      </c>
      <c r="J17" s="9" t="s">
        <v>27</v>
      </c>
      <c r="K17" s="9" t="s">
        <v>0</v>
      </c>
    </row>
    <row r="18" spans="1:11" x14ac:dyDescent="0.25">
      <c r="A18" s="8">
        <f>ROW()-6</f>
      </c>
      <c r="B18" s="9">
        <v>2</v>
      </c>
      <c r="C18" s="9" t="s">
        <v>81</v>
      </c>
      <c r="D18" s="9" t="s">
        <v>82</v>
      </c>
      <c r="E18" s="9" t="s">
        <v>83</v>
      </c>
      <c r="F18" s="9" t="s">
        <v>81</v>
      </c>
      <c r="G18" s="9" t="s">
        <v>84</v>
      </c>
      <c r="H18" s="9" t="s">
        <v>25</v>
      </c>
      <c r="I18" s="9" t="s">
        <v>85</v>
      </c>
      <c r="J18" s="9" t="s">
        <v>27</v>
      </c>
      <c r="K18" s="9" t="s">
        <v>0</v>
      </c>
    </row>
    <row r="19" spans="1:11" x14ac:dyDescent="0.25">
      <c r="A19" s="8">
        <f>ROW()-6</f>
      </c>
      <c r="B19" s="9">
        <v>1</v>
      </c>
      <c r="C19" s="9" t="s">
        <v>86</v>
      </c>
      <c r="D19" s="9" t="s">
        <v>87</v>
      </c>
      <c r="E19" s="9" t="s">
        <v>88</v>
      </c>
      <c r="F19" s="9" t="s">
        <v>86</v>
      </c>
      <c r="G19" s="9" t="s">
        <v>89</v>
      </c>
      <c r="H19" s="9" t="s">
        <v>90</v>
      </c>
      <c r="I19" s="9" t="s">
        <v>91</v>
      </c>
      <c r="J19" s="9" t="s">
        <v>27</v>
      </c>
      <c r="K19" s="9" t="s">
        <v>0</v>
      </c>
    </row>
    <row r="20" spans="1:11" x14ac:dyDescent="0.25">
      <c r="A20" s="8">
        <f>ROW()-6</f>
      </c>
      <c r="B20" s="9">
        <v>2</v>
      </c>
      <c r="C20" s="9" t="s">
        <v>92</v>
      </c>
      <c r="D20" s="9" t="s">
        <v>93</v>
      </c>
      <c r="E20" s="9" t="s">
        <v>83</v>
      </c>
      <c r="F20" s="9" t="s">
        <v>92</v>
      </c>
      <c r="G20" s="9" t="s">
        <v>94</v>
      </c>
      <c r="H20" s="9" t="s">
        <v>25</v>
      </c>
      <c r="I20" s="9" t="s">
        <v>95</v>
      </c>
      <c r="J20" s="9" t="s">
        <v>27</v>
      </c>
      <c r="K20" s="9" t="s">
        <v>0</v>
      </c>
    </row>
    <row r="21" spans="1:11" x14ac:dyDescent="0.25">
      <c r="A21" s="8">
        <f>ROW()-6</f>
      </c>
      <c r="B21" s="9">
        <v>1</v>
      </c>
      <c r="C21" s="9" t="s">
        <v>96</v>
      </c>
      <c r="D21" s="9" t="s">
        <v>97</v>
      </c>
      <c r="E21" s="9" t="s">
        <v>98</v>
      </c>
      <c r="F21" s="9" t="s">
        <v>96</v>
      </c>
      <c r="G21" s="9" t="s">
        <v>99</v>
      </c>
      <c r="H21" s="9" t="s">
        <v>100</v>
      </c>
      <c r="I21" s="9" t="s">
        <v>101</v>
      </c>
      <c r="J21" s="9" t="s">
        <v>27</v>
      </c>
      <c r="K21" s="9" t="s">
        <v>0</v>
      </c>
    </row>
    <row r="22" spans="1:11" x14ac:dyDescent="0.25">
      <c r="A22" s="8">
        <f>ROW()-6</f>
      </c>
      <c r="B22" s="9">
        <v>2</v>
      </c>
      <c r="C22" s="9" t="s">
        <v>102</v>
      </c>
      <c r="D22" s="9" t="s">
        <v>103</v>
      </c>
      <c r="E22" s="9" t="s">
        <v>104</v>
      </c>
      <c r="F22" s="9" t="s">
        <v>0</v>
      </c>
      <c r="G22" s="9" t="s">
        <v>102</v>
      </c>
      <c r="H22" s="9" t="s">
        <v>105</v>
      </c>
      <c r="I22" s="9" t="s">
        <v>106</v>
      </c>
      <c r="J22" s="9" t="s">
        <v>27</v>
      </c>
      <c r="K22" s="9" t="s">
        <v>0</v>
      </c>
    </row>
    <row r="23" spans="1:11" x14ac:dyDescent="0.25">
      <c r="A23" s="8">
        <f>ROW()-6</f>
      </c>
      <c r="B23" s="9">
        <v>1</v>
      </c>
      <c r="C23" s="9" t="s">
        <v>107</v>
      </c>
      <c r="D23" s="9" t="s">
        <v>108</v>
      </c>
      <c r="E23" s="9" t="s">
        <v>109</v>
      </c>
      <c r="F23" s="9" t="s">
        <v>0</v>
      </c>
      <c r="G23" s="9" t="s">
        <v>107</v>
      </c>
      <c r="H23" s="9" t="s">
        <v>110</v>
      </c>
      <c r="I23" s="9" t="s">
        <v>111</v>
      </c>
      <c r="J23" s="9" t="s">
        <v>27</v>
      </c>
      <c r="K23" s="9" t="s">
        <v>0</v>
      </c>
    </row>
    <row r="24" spans="1:12" x14ac:dyDescent="0.25">
      <c r="A24" s="8">
        <f>ROW()-6</f>
      </c>
      <c r="B24" s="10">
        <f>SUM(L7:L23)</f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</sheetData>
  <mergeCells count="4">
    <mergeCell ref="A1:D5"/>
    <mergeCell ref="E1:E2"/>
    <mergeCell ref="F1:F2"/>
    <mergeCell ref="B24:L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220" zoomScaleNormal="220">
      <selection activeCell="B14" sqref="B14"/>
    </sheetView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112</v>
      </c>
      <c r="B1" s="6" t="s">
        <v>4</v>
      </c>
    </row>
    <row r="2" spans="1:2" x14ac:dyDescent="0.25">
      <c r="A2" s="6" t="s">
        <v>113</v>
      </c>
      <c r="B2" s="6" t="s">
        <v>114</v>
      </c>
    </row>
    <row r="3" spans="1:2" x14ac:dyDescent="0.25">
      <c r="A3" s="6" t="s">
        <v>115</v>
      </c>
      <c r="B3" s="6" t="s">
        <v>116</v>
      </c>
    </row>
    <row r="4" spans="1:2" x14ac:dyDescent="0.25">
      <c r="A4" s="6" t="s">
        <v>117</v>
      </c>
      <c r="B4" s="6" t="s">
        <v>118</v>
      </c>
    </row>
    <row r="5" spans="1:2" x14ac:dyDescent="0.25">
      <c r="A5" s="6" t="s">
        <v>119</v>
      </c>
      <c r="B5" s="6" t="s">
        <v>6</v>
      </c>
    </row>
    <row r="6" spans="1:2" x14ac:dyDescent="0.25">
      <c r="A6" s="6" t="s">
        <v>120</v>
      </c>
      <c r="B6" s="6">
        <v>34</v>
      </c>
    </row>
    <row r="7" spans="1:2" x14ac:dyDescent="0.25">
      <c r="A7" s="6" t="s">
        <v>121</v>
      </c>
      <c r="B7" s="6" t="s">
        <v>122</v>
      </c>
    </row>
    <row r="8" spans="1:2" x14ac:dyDescent="0.25">
      <c r="A8" s="6" t="s">
        <v>123</v>
      </c>
      <c r="B8" s="6" t="s">
        <v>124</v>
      </c>
    </row>
    <row r="9" spans="1:2" x14ac:dyDescent="0.25">
      <c r="A9" s="6" t="s">
        <v>125</v>
      </c>
      <c r="B9" s="6" t="s">
        <v>8</v>
      </c>
    </row>
    <row r="10" spans="1:2" x14ac:dyDescent="0.25">
      <c r="A10" s="6" t="s">
        <v>126</v>
      </c>
      <c r="B10" s="6" t="s">
        <v>2</v>
      </c>
    </row>
    <row r="11" spans="1:2" x14ac:dyDescent="0.25">
      <c r="A11" s="6" t="s">
        <v>127</v>
      </c>
      <c r="B11" s="6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2026-09-17T02:16:20Z</dcterms:modified>
</cp:coreProperties>
</file>